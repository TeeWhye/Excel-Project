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4AB222A-4A91-4C2A-9A90-3D32DDE9C26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 Data" sheetId="1" r:id="rId1"/>
    <sheet name="Analysis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2" l="1"/>
  <c r="C20" i="2" s="1"/>
  <c r="B19" i="2"/>
  <c r="C19" i="2" s="1"/>
  <c r="B18" i="2"/>
  <c r="C18" i="2" s="1"/>
  <c r="B17" i="2"/>
  <c r="C17" i="2" s="1"/>
  <c r="F10" i="2"/>
  <c r="E10" i="2"/>
  <c r="E11" i="2" s="1"/>
  <c r="E5" i="3" s="1"/>
  <c r="C10" i="2"/>
  <c r="B10" i="2"/>
  <c r="D10" i="2" s="1"/>
  <c r="F9" i="2"/>
  <c r="E9" i="2"/>
  <c r="C9" i="2"/>
  <c r="B9" i="2"/>
  <c r="D9" i="2" s="1"/>
  <c r="F8" i="2"/>
  <c r="E8" i="2"/>
  <c r="C8" i="2"/>
  <c r="B8" i="2"/>
  <c r="D8" i="2" s="1"/>
  <c r="F7" i="2"/>
  <c r="E7" i="2"/>
  <c r="D7" i="2"/>
  <c r="C7" i="2"/>
  <c r="B7" i="2"/>
  <c r="F6" i="2"/>
  <c r="F11" i="2" s="1"/>
  <c r="G5" i="3" s="1"/>
  <c r="E6" i="2"/>
  <c r="C6" i="2"/>
  <c r="C11" i="2" s="1"/>
  <c r="B6" i="2"/>
  <c r="B11" i="2" s="1"/>
  <c r="A5" i="3" l="1"/>
  <c r="D11" i="2"/>
  <c r="C5" i="3" s="1"/>
  <c r="D6" i="2"/>
</calcChain>
</file>

<file path=xl/sharedStrings.xml><?xml version="1.0" encoding="utf-8"?>
<sst xmlns="http://schemas.openxmlformats.org/spreadsheetml/2006/main" count="133" uniqueCount="44">
  <si>
    <t>PRODUCTION PERFORMANCE DATASET</t>
  </si>
  <si>
    <t>Simplified portfolio project based on factory downtime and operational reporting</t>
  </si>
  <si>
    <t>Date</t>
  </si>
  <si>
    <t>Shift</t>
  </si>
  <si>
    <t>Line</t>
  </si>
  <si>
    <t>Planned Hours</t>
  </si>
  <si>
    <t>Production Output</t>
  </si>
  <si>
    <t>Target Output</t>
  </si>
  <si>
    <t>Downtime (mins)</t>
  </si>
  <si>
    <t>Downtime Category</t>
  </si>
  <si>
    <t>Defects</t>
  </si>
  <si>
    <t>Day</t>
  </si>
  <si>
    <t>NG1</t>
  </si>
  <si>
    <t>Production</t>
  </si>
  <si>
    <t>Night</t>
  </si>
  <si>
    <t>NG3</t>
  </si>
  <si>
    <t>Maintenance</t>
  </si>
  <si>
    <t>NG4</t>
  </si>
  <si>
    <t>NG5</t>
  </si>
  <si>
    <t>NG6</t>
  </si>
  <si>
    <t>Utility</t>
  </si>
  <si>
    <t>PRODUCTION PERFORMANCE ANALYSIS</t>
  </si>
  <si>
    <t>Calculated Metrics</t>
  </si>
  <si>
    <t>Total Output</t>
  </si>
  <si>
    <t>Total Target</t>
  </si>
  <si>
    <t>Achievement Rate</t>
  </si>
  <si>
    <t>Avg Downtime (mins)</t>
  </si>
  <si>
    <t>Total Defects</t>
  </si>
  <si>
    <t>Overall</t>
  </si>
  <si>
    <t>Downtime by Category</t>
  </si>
  <si>
    <t>Category</t>
  </si>
  <si>
    <t>Total Downtime (mins)</t>
  </si>
  <si>
    <t>Share of Downtime</t>
  </si>
  <si>
    <t>Quality</t>
  </si>
  <si>
    <t>PRODUCTION PERFORMANCE DASHBOARD</t>
  </si>
  <si>
    <t>Simplified Excel portfolio project | Factory downtime and operational performance analysis</t>
  </si>
  <si>
    <t>TOTAL OUTPUT</t>
  </si>
  <si>
    <t>ACHIEVEMENT RATE</t>
  </si>
  <si>
    <t>AVG DOWNTIME</t>
  </si>
  <si>
    <t>TOTAL DEFECTS</t>
  </si>
  <si>
    <t>KEY INSIGHTS</t>
  </si>
  <si>
    <t>1. Compare average downtime across production lines to identify the line requiring the most attention.</t>
  </si>
  <si>
    <t>2. Review downtime categories to identify the largest source of lost production time.</t>
  </si>
  <si>
    <t>3. Use achievement rate and downtime together to investigate possible relationships between equipment availability and output.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</si>
</sst>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-mmm\-yyyy"/>
    <numFmt numFmtId="166" formatCode="0.0%"/>
    <numFmt numFmtId="167" formatCode="0.0"/>
  </numFmts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0"/>
      <name val="Calibri"/>
    </font>
    <font>
      <b/>
      <sz val="12"/>
      <color rgb="FF1F4E78"/>
      <name val="Calibri"/>
    </font>
    <font>
      <b/>
      <sz val="11"/>
      <name val="Calibri"/>
    </font>
    <font>
      <b/>
      <sz val="18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0" xfId="0" applyFont="1" applyFill="1" applyAlignment="1">
      <alignment horizontal="center" wrapText="1"/>
    </xf>
    <xf numFmtId="165" fontId="4" fillId="0" borderId="1" xfId="0" applyNumberFormat="1" applyFont="1" applyBorder="1"/>
    <xf numFmtId="0" fontId="4" fillId="0" borderId="1" xfId="0" applyFont="1" applyBorder="1"/>
    <xf numFmtId="0" fontId="5" fillId="0" borderId="0" xfId="0" applyFont="1"/>
    <xf numFmtId="166" fontId="4" fillId="0" borderId="1" xfId="0" applyNumberFormat="1" applyFont="1" applyBorder="1"/>
    <xf numFmtId="0" fontId="6" fillId="5" borderId="1" xfId="0" applyFont="1" applyFill="1" applyBorder="1"/>
    <xf numFmtId="166" fontId="6" fillId="5" borderId="1" xfId="0" applyNumberFormat="1" applyFont="1" applyFill="1" applyBorder="1"/>
    <xf numFmtId="0" fontId="0" fillId="0" borderId="1" xfId="0" applyBorder="1"/>
    <xf numFmtId="166" fontId="0" fillId="0" borderId="1" xfId="0" applyNumberFormat="1" applyBorder="1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166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Downtime by Line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Analysis!$E$5</c:f>
              <c:strCache>
                <c:ptCount val="1"/>
                <c:pt idx="0">
                  <c:v>Avg Downtime (mins)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Analysis!$A$6:$A$10</c:f>
              <c:strCache>
                <c:ptCount val="5"/>
                <c:pt idx="0">
                  <c:v>NG1</c:v>
                </c:pt>
                <c:pt idx="1">
                  <c:v>NG3</c:v>
                </c:pt>
                <c:pt idx="2">
                  <c:v>NG4</c:v>
                </c:pt>
                <c:pt idx="3">
                  <c:v>NG5</c:v>
                </c:pt>
                <c:pt idx="4">
                  <c:v>NG6</c:v>
                </c:pt>
              </c:strCache>
            </c:strRef>
          </c:cat>
          <c:val>
            <c:numRef>
              <c:f>Analysis!$E$6:$E$10</c:f>
              <c:numCache>
                <c:formatCode>General</c:formatCode>
                <c:ptCount val="5"/>
                <c:pt idx="0">
                  <c:v>62</c:v>
                </c:pt>
                <c:pt idx="1">
                  <c:v>63.166666666666664</c:v>
                </c:pt>
                <c:pt idx="2">
                  <c:v>67.166666666666671</c:v>
                </c:pt>
                <c:pt idx="3">
                  <c:v>54.833333333333336</c:v>
                </c:pt>
                <c:pt idx="4">
                  <c:v>70.166666666666671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F4-48BF-9F42-16013A9E5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Downtime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Analysis!$B$16</c:f>
              <c:strCache>
                <c:ptCount val="1"/>
                <c:pt idx="0">
                  <c:v>Total Downtime (mins)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Analysis!$A$17:$A$20</c:f>
              <c:strCache>
                <c:ptCount val="4"/>
                <c:pt idx="0">
                  <c:v>Production</c:v>
                </c:pt>
                <c:pt idx="1">
                  <c:v>Maintenance</c:v>
                </c:pt>
                <c:pt idx="2">
                  <c:v>Utility</c:v>
                </c:pt>
                <c:pt idx="3">
                  <c:v>Quality</c:v>
                </c:pt>
              </c:strCache>
            </c:strRef>
          </c:cat>
          <c:val>
            <c:numRef>
              <c:f>Analysis!$B$17:$B$20</c:f>
              <c:numCache>
                <c:formatCode>General</c:formatCode>
                <c:ptCount val="4"/>
                <c:pt idx="0">
                  <c:v>1006</c:v>
                </c:pt>
                <c:pt idx="1">
                  <c:v>427</c:v>
                </c:pt>
                <c:pt idx="2">
                  <c:v>471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A-46B8-9A25-4077FE9B8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Average Downtime by Line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Analysis!$E$5</c:f>
              <c:strCache>
                <c:ptCount val="1"/>
                <c:pt idx="0">
                  <c:v>Avg Downtime (mins)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Analysis!$A$6:$A$10</c:f>
              <c:strCache>
                <c:ptCount val="5"/>
                <c:pt idx="0">
                  <c:v>NG1</c:v>
                </c:pt>
                <c:pt idx="1">
                  <c:v>NG3</c:v>
                </c:pt>
                <c:pt idx="2">
                  <c:v>NG4</c:v>
                </c:pt>
                <c:pt idx="3">
                  <c:v>NG5</c:v>
                </c:pt>
                <c:pt idx="4">
                  <c:v>NG6</c:v>
                </c:pt>
              </c:strCache>
            </c:strRef>
          </c:cat>
          <c:val>
            <c:numRef>
              <c:f>Analysis!$E$6:$E$10</c:f>
              <c:numCache>
                <c:formatCode>General</c:formatCode>
                <c:ptCount val="5"/>
                <c:pt idx="0">
                  <c:v>62</c:v>
                </c:pt>
                <c:pt idx="1">
                  <c:v>63.166666666666664</c:v>
                </c:pt>
                <c:pt idx="2">
                  <c:v>67.166666666666671</c:v>
                </c:pt>
                <c:pt idx="3">
                  <c:v>54.833333333333336</c:v>
                </c:pt>
                <c:pt idx="4">
                  <c:v>70.166666666666671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79-4C59-B56F-9E2F4B140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Downtime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Analysis!$B$16</c:f>
              <c:strCache>
                <c:ptCount val="1"/>
                <c:pt idx="0">
                  <c:v>Total Downtime (mins)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Analysis!$A$17:$A$20</c:f>
              <c:strCache>
                <c:ptCount val="4"/>
                <c:pt idx="0">
                  <c:v>Production</c:v>
                </c:pt>
                <c:pt idx="1">
                  <c:v>Maintenance</c:v>
                </c:pt>
                <c:pt idx="2">
                  <c:v>Utility</c:v>
                </c:pt>
                <c:pt idx="3">
                  <c:v>Quality</c:v>
                </c:pt>
              </c:strCache>
            </c:strRef>
          </c:cat>
          <c:val>
            <c:numRef>
              <c:f>Analysis!$B$17:$B$20</c:f>
              <c:numCache>
                <c:formatCode>General</c:formatCode>
                <c:ptCount val="4"/>
                <c:pt idx="0">
                  <c:v>1006</c:v>
                </c:pt>
                <c:pt idx="1">
                  <c:v>427</c:v>
                </c:pt>
                <c:pt idx="2">
                  <c:v>471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5-40FA-AAB1-79DB2D6AF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Minutes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13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28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0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ata" displayName="ProductionData" ref="A3:I33">
  <tableColumns count="9">
    <tableColumn id="1" xr3:uid="{00000000-0010-0000-0000-000001000000}" name="Date"/>
    <tableColumn id="2" xr3:uid="{00000000-0010-0000-0000-000002000000}" name="Shift"/>
    <tableColumn id="3" xr3:uid="{00000000-0010-0000-0000-000003000000}" name="Line"/>
    <tableColumn id="4" xr3:uid="{00000000-0010-0000-0000-000004000000}" name="Planned Hours"/>
    <tableColumn id="5" xr3:uid="{00000000-0010-0000-0000-000005000000}" name="Production Output"/>
    <tableColumn id="6" xr3:uid="{00000000-0010-0000-0000-000006000000}" name="Target Output"/>
    <tableColumn id="7" xr3:uid="{00000000-0010-0000-0000-000007000000}" name="Downtime (mins)"/>
    <tableColumn id="8" xr3:uid="{00000000-0010-0000-0000-000008000000}" name="Downtime Category"/>
    <tableColumn id="9" xr3:uid="{00000000-0010-0000-0000-000009000000}" name="Defec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showGridLines="0" workbookViewId="0">
      <pane ySplit="3" topLeftCell="A7" activePane="bottomLeft" state="frozen"/>
      <selection pane="bottomLeft" activeCell="H3" sqref="H3"/>
    </sheetView>
  </sheetViews>
  <sheetFormatPr defaultRowHeight="15" x14ac:dyDescent="0.25"/>
  <cols>
    <col min="1" max="1" width="14" customWidth="1"/>
    <col min="2" max="2" width="12" customWidth="1"/>
    <col min="3" max="3" width="10" customWidth="1"/>
    <col min="4" max="4" width="16" customWidth="1"/>
    <col min="5" max="5" width="18" customWidth="1"/>
    <col min="6" max="6" width="16" customWidth="1"/>
    <col min="7" max="7" width="18" customWidth="1"/>
    <col min="8" max="8" width="20" customWidth="1"/>
    <col min="9" max="9" width="12" customWidth="1"/>
  </cols>
  <sheetData>
    <row r="1" spans="1:9" ht="21" x14ac:dyDescent="0.3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s="2">
        <v>46143</v>
      </c>
      <c r="B4" s="3" t="s">
        <v>11</v>
      </c>
      <c r="C4" s="3" t="s">
        <v>12</v>
      </c>
      <c r="D4" s="3">
        <v>10</v>
      </c>
      <c r="E4" s="3">
        <v>946</v>
      </c>
      <c r="F4" s="3">
        <v>1013</v>
      </c>
      <c r="G4" s="3">
        <v>24</v>
      </c>
      <c r="H4" s="3" t="s">
        <v>13</v>
      </c>
      <c r="I4" s="3">
        <v>26</v>
      </c>
    </row>
    <row r="5" spans="1:9" x14ac:dyDescent="0.25">
      <c r="A5" s="2">
        <v>46144</v>
      </c>
      <c r="B5" s="3" t="s">
        <v>14</v>
      </c>
      <c r="C5" s="3" t="s">
        <v>15</v>
      </c>
      <c r="D5" s="3">
        <v>10</v>
      </c>
      <c r="E5" s="3">
        <v>850</v>
      </c>
      <c r="F5" s="3">
        <v>907</v>
      </c>
      <c r="G5" s="3">
        <v>27</v>
      </c>
      <c r="H5" s="3" t="s">
        <v>16</v>
      </c>
      <c r="I5" s="3">
        <v>24</v>
      </c>
    </row>
    <row r="6" spans="1:9" x14ac:dyDescent="0.25">
      <c r="A6" s="2">
        <v>46145</v>
      </c>
      <c r="B6" s="3" t="s">
        <v>11</v>
      </c>
      <c r="C6" s="3" t="s">
        <v>17</v>
      </c>
      <c r="D6" s="3">
        <v>10</v>
      </c>
      <c r="E6" s="3">
        <v>978</v>
      </c>
      <c r="F6" s="3">
        <v>989</v>
      </c>
      <c r="G6" s="3">
        <v>21</v>
      </c>
      <c r="H6" s="3" t="s">
        <v>13</v>
      </c>
      <c r="I6" s="3">
        <v>4</v>
      </c>
    </row>
    <row r="7" spans="1:9" x14ac:dyDescent="0.25">
      <c r="A7" s="2">
        <v>46146</v>
      </c>
      <c r="B7" s="3" t="s">
        <v>14</v>
      </c>
      <c r="C7" s="3" t="s">
        <v>18</v>
      </c>
      <c r="D7" s="3">
        <v>10</v>
      </c>
      <c r="E7" s="3">
        <v>884</v>
      </c>
      <c r="F7" s="3">
        <v>905</v>
      </c>
      <c r="G7" s="3">
        <v>39</v>
      </c>
      <c r="H7" s="3" t="s">
        <v>13</v>
      </c>
      <c r="I7" s="3">
        <v>22</v>
      </c>
    </row>
    <row r="8" spans="1:9" x14ac:dyDescent="0.25">
      <c r="A8" s="2">
        <v>46147</v>
      </c>
      <c r="B8" s="3" t="s">
        <v>11</v>
      </c>
      <c r="C8" s="3" t="s">
        <v>19</v>
      </c>
      <c r="D8" s="3">
        <v>10</v>
      </c>
      <c r="E8" s="3">
        <v>804</v>
      </c>
      <c r="F8" s="3">
        <v>900</v>
      </c>
      <c r="G8" s="3">
        <v>101</v>
      </c>
      <c r="H8" s="3" t="s">
        <v>13</v>
      </c>
      <c r="I8" s="3">
        <v>16</v>
      </c>
    </row>
    <row r="9" spans="1:9" x14ac:dyDescent="0.25">
      <c r="A9" s="2">
        <v>46148</v>
      </c>
      <c r="B9" s="3" t="s">
        <v>14</v>
      </c>
      <c r="C9" s="3" t="s">
        <v>12</v>
      </c>
      <c r="D9" s="3">
        <v>10</v>
      </c>
      <c r="E9" s="3">
        <v>901</v>
      </c>
      <c r="F9" s="3">
        <v>1000</v>
      </c>
      <c r="G9" s="3">
        <v>45</v>
      </c>
      <c r="H9" s="3" t="s">
        <v>20</v>
      </c>
      <c r="I9" s="3">
        <v>27</v>
      </c>
    </row>
    <row r="10" spans="1:9" x14ac:dyDescent="0.25">
      <c r="A10" s="2">
        <v>46149</v>
      </c>
      <c r="B10" s="3" t="s">
        <v>11</v>
      </c>
      <c r="C10" s="3" t="s">
        <v>15</v>
      </c>
      <c r="D10" s="3">
        <v>10</v>
      </c>
      <c r="E10" s="3">
        <v>942</v>
      </c>
      <c r="F10" s="3">
        <v>1028</v>
      </c>
      <c r="G10" s="3">
        <v>64</v>
      </c>
      <c r="H10" s="3" t="s">
        <v>13</v>
      </c>
      <c r="I10" s="3">
        <v>11</v>
      </c>
    </row>
    <row r="11" spans="1:9" x14ac:dyDescent="0.25">
      <c r="A11" s="2">
        <v>46150</v>
      </c>
      <c r="B11" s="3" t="s">
        <v>14</v>
      </c>
      <c r="C11" s="3" t="s">
        <v>17</v>
      </c>
      <c r="D11" s="3">
        <v>10</v>
      </c>
      <c r="E11" s="3">
        <v>944</v>
      </c>
      <c r="F11" s="3">
        <v>1045</v>
      </c>
      <c r="G11" s="3">
        <v>53</v>
      </c>
      <c r="H11" s="3" t="s">
        <v>13</v>
      </c>
      <c r="I11" s="3">
        <v>5</v>
      </c>
    </row>
    <row r="12" spans="1:9" x14ac:dyDescent="0.25">
      <c r="A12" s="2">
        <v>46151</v>
      </c>
      <c r="B12" s="3" t="s">
        <v>11</v>
      </c>
      <c r="C12" s="3" t="s">
        <v>18</v>
      </c>
      <c r="D12" s="3">
        <v>10</v>
      </c>
      <c r="E12" s="3">
        <v>866</v>
      </c>
      <c r="F12" s="3">
        <v>941</v>
      </c>
      <c r="G12" s="3">
        <v>54</v>
      </c>
      <c r="H12" s="3" t="s">
        <v>13</v>
      </c>
      <c r="I12" s="3">
        <v>28</v>
      </c>
    </row>
    <row r="13" spans="1:9" x14ac:dyDescent="0.25">
      <c r="A13" s="2">
        <v>46152</v>
      </c>
      <c r="B13" s="3" t="s">
        <v>14</v>
      </c>
      <c r="C13" s="3" t="s">
        <v>19</v>
      </c>
      <c r="D13" s="3">
        <v>10</v>
      </c>
      <c r="E13" s="3">
        <v>839</v>
      </c>
      <c r="F13" s="3">
        <v>967</v>
      </c>
      <c r="G13" s="3">
        <v>78</v>
      </c>
      <c r="H13" s="3" t="s">
        <v>13</v>
      </c>
      <c r="I13" s="3">
        <v>15</v>
      </c>
    </row>
    <row r="14" spans="1:9" x14ac:dyDescent="0.25">
      <c r="A14" s="2">
        <v>46153</v>
      </c>
      <c r="B14" s="3" t="s">
        <v>11</v>
      </c>
      <c r="C14" s="3" t="s">
        <v>12</v>
      </c>
      <c r="D14" s="3">
        <v>10</v>
      </c>
      <c r="E14" s="3">
        <v>817</v>
      </c>
      <c r="F14" s="3">
        <v>925</v>
      </c>
      <c r="G14" s="3">
        <v>90</v>
      </c>
      <c r="H14" s="3" t="s">
        <v>13</v>
      </c>
      <c r="I14" s="3">
        <v>21</v>
      </c>
    </row>
    <row r="15" spans="1:9" x14ac:dyDescent="0.25">
      <c r="A15" s="2">
        <v>46154</v>
      </c>
      <c r="B15" s="3" t="s">
        <v>14</v>
      </c>
      <c r="C15" s="3" t="s">
        <v>15</v>
      </c>
      <c r="D15" s="3">
        <v>10</v>
      </c>
      <c r="E15" s="3">
        <v>842</v>
      </c>
      <c r="F15" s="3">
        <v>867</v>
      </c>
      <c r="G15" s="3">
        <v>15</v>
      </c>
      <c r="H15" s="3" t="s">
        <v>13</v>
      </c>
      <c r="I15" s="3">
        <v>27</v>
      </c>
    </row>
    <row r="16" spans="1:9" x14ac:dyDescent="0.25">
      <c r="A16" s="2">
        <v>46155</v>
      </c>
      <c r="B16" s="3" t="s">
        <v>11</v>
      </c>
      <c r="C16" s="3" t="s">
        <v>17</v>
      </c>
      <c r="D16" s="3">
        <v>10</v>
      </c>
      <c r="E16" s="3">
        <v>799</v>
      </c>
      <c r="F16" s="3">
        <v>870</v>
      </c>
      <c r="G16" s="3">
        <v>39</v>
      </c>
      <c r="H16" s="3" t="s">
        <v>13</v>
      </c>
      <c r="I16" s="3">
        <v>15</v>
      </c>
    </row>
    <row r="17" spans="1:9" x14ac:dyDescent="0.25">
      <c r="A17" s="2">
        <v>46156</v>
      </c>
      <c r="B17" s="3" t="s">
        <v>14</v>
      </c>
      <c r="C17" s="3" t="s">
        <v>18</v>
      </c>
      <c r="D17" s="3">
        <v>10</v>
      </c>
      <c r="E17" s="3">
        <v>916</v>
      </c>
      <c r="F17" s="3">
        <v>1012</v>
      </c>
      <c r="G17" s="3">
        <v>56</v>
      </c>
      <c r="H17" s="3" t="s">
        <v>13</v>
      </c>
      <c r="I17" s="3">
        <v>14</v>
      </c>
    </row>
    <row r="18" spans="1:9" x14ac:dyDescent="0.25">
      <c r="A18" s="2">
        <v>46157</v>
      </c>
      <c r="B18" s="3" t="s">
        <v>11</v>
      </c>
      <c r="C18" s="3" t="s">
        <v>19</v>
      </c>
      <c r="D18" s="3">
        <v>10</v>
      </c>
      <c r="E18" s="3">
        <v>931</v>
      </c>
      <c r="F18" s="3">
        <v>1021</v>
      </c>
      <c r="G18" s="3">
        <v>44</v>
      </c>
      <c r="H18" s="3" t="s">
        <v>16</v>
      </c>
      <c r="I18" s="3">
        <v>22</v>
      </c>
    </row>
    <row r="19" spans="1:9" x14ac:dyDescent="0.25">
      <c r="A19" s="2">
        <v>46158</v>
      </c>
      <c r="B19" s="3" t="s">
        <v>14</v>
      </c>
      <c r="C19" s="3" t="s">
        <v>12</v>
      </c>
      <c r="D19" s="3">
        <v>10</v>
      </c>
      <c r="E19" s="3">
        <v>837</v>
      </c>
      <c r="F19" s="3">
        <v>986</v>
      </c>
      <c r="G19" s="3">
        <v>103</v>
      </c>
      <c r="H19" s="3" t="s">
        <v>16</v>
      </c>
      <c r="I19" s="3">
        <v>8</v>
      </c>
    </row>
    <row r="20" spans="1:9" x14ac:dyDescent="0.25">
      <c r="A20" s="2">
        <v>46159</v>
      </c>
      <c r="B20" s="3" t="s">
        <v>11</v>
      </c>
      <c r="C20" s="3" t="s">
        <v>15</v>
      </c>
      <c r="D20" s="3">
        <v>10</v>
      </c>
      <c r="E20" s="3">
        <v>793</v>
      </c>
      <c r="F20" s="3">
        <v>919</v>
      </c>
      <c r="G20" s="3">
        <v>91</v>
      </c>
      <c r="H20" s="3" t="s">
        <v>13</v>
      </c>
      <c r="I20" s="3">
        <v>24</v>
      </c>
    </row>
    <row r="21" spans="1:9" x14ac:dyDescent="0.25">
      <c r="A21" s="2">
        <v>46160</v>
      </c>
      <c r="B21" s="3" t="s">
        <v>14</v>
      </c>
      <c r="C21" s="3" t="s">
        <v>17</v>
      </c>
      <c r="D21" s="3">
        <v>10</v>
      </c>
      <c r="E21" s="3">
        <v>855</v>
      </c>
      <c r="F21" s="3">
        <v>1046</v>
      </c>
      <c r="G21" s="3">
        <v>109</v>
      </c>
      <c r="H21" s="3" t="s">
        <v>20</v>
      </c>
      <c r="I21" s="3">
        <v>10</v>
      </c>
    </row>
    <row r="22" spans="1:9" x14ac:dyDescent="0.25">
      <c r="A22" s="2">
        <v>46161</v>
      </c>
      <c r="B22" s="3" t="s">
        <v>11</v>
      </c>
      <c r="C22" s="3" t="s">
        <v>18</v>
      </c>
      <c r="D22" s="3">
        <v>10</v>
      </c>
      <c r="E22" s="3">
        <v>848</v>
      </c>
      <c r="F22" s="3">
        <v>930</v>
      </c>
      <c r="G22" s="3">
        <v>61</v>
      </c>
      <c r="H22" s="3" t="s">
        <v>13</v>
      </c>
      <c r="I22" s="3">
        <v>5</v>
      </c>
    </row>
    <row r="23" spans="1:9" x14ac:dyDescent="0.25">
      <c r="A23" s="2">
        <v>46162</v>
      </c>
      <c r="B23" s="3" t="s">
        <v>14</v>
      </c>
      <c r="C23" s="3" t="s">
        <v>19</v>
      </c>
      <c r="D23" s="3">
        <v>10</v>
      </c>
      <c r="E23" s="3">
        <v>856</v>
      </c>
      <c r="F23" s="3">
        <v>995</v>
      </c>
      <c r="G23" s="3">
        <v>101</v>
      </c>
      <c r="H23" s="3" t="s">
        <v>16</v>
      </c>
      <c r="I23" s="3">
        <v>9</v>
      </c>
    </row>
    <row r="24" spans="1:9" x14ac:dyDescent="0.25">
      <c r="A24" s="2">
        <v>46163</v>
      </c>
      <c r="B24" s="3" t="s">
        <v>11</v>
      </c>
      <c r="C24" s="3" t="s">
        <v>12</v>
      </c>
      <c r="D24" s="3">
        <v>10</v>
      </c>
      <c r="E24" s="3">
        <v>849</v>
      </c>
      <c r="F24" s="3">
        <v>951</v>
      </c>
      <c r="G24" s="3">
        <v>92</v>
      </c>
      <c r="H24" s="3" t="s">
        <v>13</v>
      </c>
      <c r="I24" s="3">
        <v>7</v>
      </c>
    </row>
    <row r="25" spans="1:9" x14ac:dyDescent="0.25">
      <c r="A25" s="2">
        <v>46164</v>
      </c>
      <c r="B25" s="3" t="s">
        <v>14</v>
      </c>
      <c r="C25" s="3" t="s">
        <v>15</v>
      </c>
      <c r="D25" s="3">
        <v>10</v>
      </c>
      <c r="E25" s="3">
        <v>809</v>
      </c>
      <c r="F25" s="3">
        <v>913</v>
      </c>
      <c r="G25" s="3">
        <v>105</v>
      </c>
      <c r="H25" s="3" t="s">
        <v>16</v>
      </c>
      <c r="I25" s="3">
        <v>11</v>
      </c>
    </row>
    <row r="26" spans="1:9" x14ac:dyDescent="0.25">
      <c r="A26" s="2">
        <v>46165</v>
      </c>
      <c r="B26" s="3" t="s">
        <v>11</v>
      </c>
      <c r="C26" s="3" t="s">
        <v>17</v>
      </c>
      <c r="D26" s="3">
        <v>10</v>
      </c>
      <c r="E26" s="3">
        <v>860</v>
      </c>
      <c r="F26" s="3">
        <v>959</v>
      </c>
      <c r="G26" s="3">
        <v>84</v>
      </c>
      <c r="H26" s="3" t="s">
        <v>13</v>
      </c>
      <c r="I26" s="3">
        <v>14</v>
      </c>
    </row>
    <row r="27" spans="1:9" x14ac:dyDescent="0.25">
      <c r="A27" s="2">
        <v>46166</v>
      </c>
      <c r="B27" s="3" t="s">
        <v>14</v>
      </c>
      <c r="C27" s="3" t="s">
        <v>18</v>
      </c>
      <c r="D27" s="3">
        <v>10</v>
      </c>
      <c r="E27" s="3">
        <v>818</v>
      </c>
      <c r="F27" s="3">
        <v>885</v>
      </c>
      <c r="G27" s="3">
        <v>75</v>
      </c>
      <c r="H27" s="3" t="s">
        <v>20</v>
      </c>
      <c r="I27" s="3">
        <v>5</v>
      </c>
    </row>
    <row r="28" spans="1:9" x14ac:dyDescent="0.25">
      <c r="A28" s="2">
        <v>46167</v>
      </c>
      <c r="B28" s="3" t="s">
        <v>11</v>
      </c>
      <c r="C28" s="3" t="s">
        <v>19</v>
      </c>
      <c r="D28" s="3">
        <v>10</v>
      </c>
      <c r="E28" s="3">
        <v>827</v>
      </c>
      <c r="F28" s="3">
        <v>878</v>
      </c>
      <c r="G28" s="3">
        <v>29</v>
      </c>
      <c r="H28" s="3" t="s">
        <v>16</v>
      </c>
      <c r="I28" s="3">
        <v>28</v>
      </c>
    </row>
    <row r="29" spans="1:9" x14ac:dyDescent="0.25">
      <c r="A29" s="2">
        <v>46168</v>
      </c>
      <c r="B29" s="3" t="s">
        <v>14</v>
      </c>
      <c r="C29" s="3" t="s">
        <v>12</v>
      </c>
      <c r="D29" s="3">
        <v>10</v>
      </c>
      <c r="E29" s="3">
        <v>990</v>
      </c>
      <c r="F29" s="3">
        <v>1002</v>
      </c>
      <c r="G29" s="3">
        <v>18</v>
      </c>
      <c r="H29" s="3" t="s">
        <v>16</v>
      </c>
      <c r="I29" s="3">
        <v>15</v>
      </c>
    </row>
    <row r="30" spans="1:9" x14ac:dyDescent="0.25">
      <c r="A30" s="2">
        <v>46169</v>
      </c>
      <c r="B30" s="3" t="s">
        <v>11</v>
      </c>
      <c r="C30" s="3" t="s">
        <v>15</v>
      </c>
      <c r="D30" s="3">
        <v>10</v>
      </c>
      <c r="E30" s="3">
        <v>859</v>
      </c>
      <c r="F30" s="3">
        <v>969</v>
      </c>
      <c r="G30" s="3">
        <v>77</v>
      </c>
      <c r="H30" s="3" t="s">
        <v>20</v>
      </c>
      <c r="I30" s="3">
        <v>20</v>
      </c>
    </row>
    <row r="31" spans="1:9" x14ac:dyDescent="0.25">
      <c r="A31" s="2">
        <v>46170</v>
      </c>
      <c r="B31" s="3" t="s">
        <v>14</v>
      </c>
      <c r="C31" s="3" t="s">
        <v>17</v>
      </c>
      <c r="D31" s="3">
        <v>10</v>
      </c>
      <c r="E31" s="3">
        <v>713</v>
      </c>
      <c r="F31" s="3">
        <v>852</v>
      </c>
      <c r="G31" s="3">
        <v>97</v>
      </c>
      <c r="H31" s="3" t="s">
        <v>20</v>
      </c>
      <c r="I31" s="3">
        <v>24</v>
      </c>
    </row>
    <row r="32" spans="1:9" x14ac:dyDescent="0.25">
      <c r="A32" s="2">
        <v>46171</v>
      </c>
      <c r="B32" s="3" t="s">
        <v>11</v>
      </c>
      <c r="C32" s="3" t="s">
        <v>18</v>
      </c>
      <c r="D32" s="3">
        <v>10</v>
      </c>
      <c r="E32" s="3">
        <v>985</v>
      </c>
      <c r="F32" s="3">
        <v>1042</v>
      </c>
      <c r="G32" s="3">
        <v>44</v>
      </c>
      <c r="H32" s="3" t="s">
        <v>13</v>
      </c>
      <c r="I32" s="3">
        <v>6</v>
      </c>
    </row>
    <row r="33" spans="1:9" x14ac:dyDescent="0.25">
      <c r="A33" s="2">
        <v>46172</v>
      </c>
      <c r="B33" s="3" t="s">
        <v>14</v>
      </c>
      <c r="C33" s="3" t="s">
        <v>19</v>
      </c>
      <c r="D33" s="3">
        <v>10</v>
      </c>
      <c r="E33" s="3">
        <v>769</v>
      </c>
      <c r="F33" s="3">
        <v>890</v>
      </c>
      <c r="G33" s="3">
        <v>68</v>
      </c>
      <c r="H33" s="3" t="s">
        <v>20</v>
      </c>
      <c r="I33" s="3">
        <v>26</v>
      </c>
    </row>
  </sheetData>
  <mergeCells count="2">
    <mergeCell ref="A1:I1"/>
    <mergeCell ref="A2:I2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tabSelected="1" workbookViewId="0">
      <selection activeCell="D26" sqref="D26"/>
    </sheetView>
  </sheetViews>
  <sheetFormatPr defaultRowHeight="15" x14ac:dyDescent="0.25"/>
  <cols>
    <col min="1" max="1" width="20" customWidth="1"/>
    <col min="2" max="4" width="18" customWidth="1"/>
    <col min="5" max="5" width="20" customWidth="1"/>
    <col min="6" max="6" width="16" customWidth="1"/>
    <col min="7" max="8" width="4" customWidth="1"/>
  </cols>
  <sheetData>
    <row r="1" spans="1:8" ht="21" x14ac:dyDescent="0.35">
      <c r="A1" s="10" t="s">
        <v>21</v>
      </c>
      <c r="B1" s="12"/>
      <c r="C1" s="12"/>
      <c r="D1" s="12"/>
      <c r="E1" s="12"/>
      <c r="F1" s="12"/>
      <c r="G1" s="12"/>
      <c r="H1" s="12"/>
    </row>
    <row r="3" spans="1:8" ht="15.75" x14ac:dyDescent="0.25">
      <c r="A3" s="4" t="s">
        <v>22</v>
      </c>
    </row>
    <row r="5" spans="1:8" ht="30" x14ac:dyDescent="0.25">
      <c r="A5" s="1" t="s">
        <v>4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 spans="1:8" x14ac:dyDescent="0.25">
      <c r="A6" s="3" t="s">
        <v>12</v>
      </c>
      <c r="B6" s="3">
        <f>SUMIF('Raw Data'!$C:$C,A6,'Raw Data'!$E:$E)</f>
        <v>5340</v>
      </c>
      <c r="C6" s="3">
        <f>SUMIF('Raw Data'!$C:$C,A6,'Raw Data'!$F:$F)</f>
        <v>5877</v>
      </c>
      <c r="D6" s="5">
        <f t="shared" ref="D6:D11" si="0">B6/C6</f>
        <v>0.90862685043389479</v>
      </c>
      <c r="E6" s="3">
        <f>AVERAGEIF('Raw Data'!$C:$C,A6,'Raw Data'!$G:$G)</f>
        <v>62</v>
      </c>
      <c r="F6" s="3">
        <f>SUMIF('Raw Data'!$C:$C,A6,'Raw Data'!$I:$I)</f>
        <v>104</v>
      </c>
    </row>
    <row r="7" spans="1:8" x14ac:dyDescent="0.25">
      <c r="A7" s="3" t="s">
        <v>15</v>
      </c>
      <c r="B7" s="3">
        <f>SUMIF('Raw Data'!$C:$C,A7,'Raw Data'!$E:$E)</f>
        <v>5095</v>
      </c>
      <c r="C7" s="3">
        <f>SUMIF('Raw Data'!$C:$C,A7,'Raw Data'!$F:$F)</f>
        <v>5603</v>
      </c>
      <c r="D7" s="5">
        <f t="shared" si="0"/>
        <v>0.90933428520435478</v>
      </c>
      <c r="E7" s="3">
        <f>AVERAGEIF('Raw Data'!$C:$C,A7,'Raw Data'!$G:$G)</f>
        <v>63.166666666666664</v>
      </c>
      <c r="F7" s="3">
        <f>SUMIF('Raw Data'!$C:$C,A7,'Raw Data'!$I:$I)</f>
        <v>117</v>
      </c>
    </row>
    <row r="8" spans="1:8" x14ac:dyDescent="0.25">
      <c r="A8" s="3" t="s">
        <v>17</v>
      </c>
      <c r="B8" s="3">
        <f>SUMIF('Raw Data'!$C:$C,A8,'Raw Data'!$E:$E)</f>
        <v>5149</v>
      </c>
      <c r="C8" s="3">
        <f>SUMIF('Raw Data'!$C:$C,A8,'Raw Data'!$F:$F)</f>
        <v>5761</v>
      </c>
      <c r="D8" s="5">
        <f t="shared" si="0"/>
        <v>0.89376844297864955</v>
      </c>
      <c r="E8" s="3">
        <f>AVERAGEIF('Raw Data'!$C:$C,A8,'Raw Data'!$G:$G)</f>
        <v>67.166666666666671</v>
      </c>
      <c r="F8" s="3">
        <f>SUMIF('Raw Data'!$C:$C,A8,'Raw Data'!$I:$I)</f>
        <v>72</v>
      </c>
    </row>
    <row r="9" spans="1:8" x14ac:dyDescent="0.25">
      <c r="A9" s="3" t="s">
        <v>18</v>
      </c>
      <c r="B9" s="3">
        <f>SUMIF('Raw Data'!$C:$C,A9,'Raw Data'!$E:$E)</f>
        <v>5317</v>
      </c>
      <c r="C9" s="3">
        <f>SUMIF('Raw Data'!$C:$C,A9,'Raw Data'!$F:$F)</f>
        <v>5715</v>
      </c>
      <c r="D9" s="5">
        <f t="shared" si="0"/>
        <v>0.93035870516185482</v>
      </c>
      <c r="E9" s="3">
        <f>AVERAGEIF('Raw Data'!$C:$C,A9,'Raw Data'!$G:$G)</f>
        <v>54.833333333333336</v>
      </c>
      <c r="F9" s="3">
        <f>SUMIF('Raw Data'!$C:$C,A9,'Raw Data'!$I:$I)</f>
        <v>80</v>
      </c>
    </row>
    <row r="10" spans="1:8" x14ac:dyDescent="0.25">
      <c r="A10" s="3" t="s">
        <v>19</v>
      </c>
      <c r="B10" s="3">
        <f>SUMIF('Raw Data'!$C:$C,A10,'Raw Data'!$E:$E)</f>
        <v>5026</v>
      </c>
      <c r="C10" s="3">
        <f>SUMIF('Raw Data'!$C:$C,A10,'Raw Data'!$F:$F)</f>
        <v>5651</v>
      </c>
      <c r="D10" s="5">
        <f t="shared" si="0"/>
        <v>0.88940010617589804</v>
      </c>
      <c r="E10" s="3">
        <f>AVERAGEIF('Raw Data'!$C:$C,A10,'Raw Data'!$G:$G)</f>
        <v>70.166666666666671</v>
      </c>
      <c r="F10" s="3">
        <f>SUMIF('Raw Data'!$C:$C,A10,'Raw Data'!$I:$I)</f>
        <v>116</v>
      </c>
    </row>
    <row r="11" spans="1:8" x14ac:dyDescent="0.25">
      <c r="A11" s="6" t="s">
        <v>28</v>
      </c>
      <c r="B11" s="6">
        <f>SUM(B6:B10)</f>
        <v>25927</v>
      </c>
      <c r="C11" s="6">
        <f>SUM(C6:C10)</f>
        <v>28607</v>
      </c>
      <c r="D11" s="7">
        <f t="shared" si="0"/>
        <v>0.90631663578844335</v>
      </c>
      <c r="E11" s="6">
        <f>AVERAGE(E6:E10)</f>
        <v>63.466666666666661</v>
      </c>
      <c r="F11" s="6">
        <f>SUM(F6:F10)</f>
        <v>489</v>
      </c>
    </row>
    <row r="14" spans="1:8" ht="15.75" x14ac:dyDescent="0.25">
      <c r="A14" s="4" t="s">
        <v>29</v>
      </c>
    </row>
    <row r="16" spans="1:8" ht="30" x14ac:dyDescent="0.25">
      <c r="A16" s="1" t="s">
        <v>30</v>
      </c>
      <c r="B16" s="1" t="s">
        <v>31</v>
      </c>
      <c r="C16" s="1" t="s">
        <v>32</v>
      </c>
    </row>
    <row r="17" spans="1:3" x14ac:dyDescent="0.25">
      <c r="A17" s="8" t="s">
        <v>13</v>
      </c>
      <c r="B17" s="8">
        <f>SUMIF('Raw Data'!$H:$H,A17,'Raw Data'!$G:$G)</f>
        <v>1006</v>
      </c>
      <c r="C17" s="9">
        <f>B17/SUM($B$17:$B$20)</f>
        <v>0.52836134453781514</v>
      </c>
    </row>
    <row r="18" spans="1:3" x14ac:dyDescent="0.25">
      <c r="A18" s="8" t="s">
        <v>16</v>
      </c>
      <c r="B18" s="8">
        <f>SUMIF('Raw Data'!$H:$H,A18,'Raw Data'!$G:$G)</f>
        <v>427</v>
      </c>
      <c r="C18" s="9">
        <f>B18/SUM($B$17:$B$20)</f>
        <v>0.22426470588235295</v>
      </c>
    </row>
    <row r="19" spans="1:3" x14ac:dyDescent="0.25">
      <c r="A19" s="8" t="s">
        <v>20</v>
      </c>
      <c r="B19" s="8">
        <f>SUMIF('Raw Data'!$H:$H,A19,'Raw Data'!$G:$G)</f>
        <v>471</v>
      </c>
      <c r="C19" s="9">
        <f>B19/SUM($B$17:$B$20)</f>
        <v>0.24737394957983194</v>
      </c>
    </row>
    <row r="20" spans="1:3" x14ac:dyDescent="0.25">
      <c r="A20" s="8" t="s">
        <v>33</v>
      </c>
      <c r="B20" s="8">
        <f>SUMIF('Raw Data'!$H:$H,A20,'Raw Data'!$G:$G)</f>
        <v>0</v>
      </c>
      <c r="C20" s="9">
        <f>B20/SUM($B$17:$B$20)</f>
        <v>0</v>
      </c>
    </row>
  </sheetData>
  <mergeCells count="1"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"/>
  <sheetViews>
    <sheetView showGridLines="0" workbookViewId="0">
      <pane ySplit="3" topLeftCell="A4" activePane="bottomLeft" state="frozen"/>
      <selection pane="bottomLeft" activeCell="K12" sqref="K12"/>
    </sheetView>
  </sheetViews>
  <sheetFormatPr defaultRowHeight="15" x14ac:dyDescent="0.25"/>
  <cols>
    <col min="1" max="8" width="16" customWidth="1"/>
  </cols>
  <sheetData>
    <row r="1" spans="1:8" ht="21" x14ac:dyDescent="0.35">
      <c r="A1" s="10" t="s">
        <v>34</v>
      </c>
      <c r="B1" s="12"/>
      <c r="C1" s="12"/>
      <c r="D1" s="12"/>
      <c r="E1" s="12"/>
      <c r="F1" s="12"/>
      <c r="G1" s="12"/>
      <c r="H1" s="12"/>
    </row>
    <row r="2" spans="1:8" x14ac:dyDescent="0.25">
      <c r="A2" s="11" t="s">
        <v>35</v>
      </c>
      <c r="B2" s="12"/>
      <c r="C2" s="12"/>
      <c r="D2" s="12"/>
      <c r="E2" s="12"/>
      <c r="F2" s="12"/>
      <c r="G2" s="12"/>
      <c r="H2" s="12"/>
    </row>
    <row r="4" spans="1:8" ht="24" customHeight="1" x14ac:dyDescent="0.25">
      <c r="A4" s="13" t="s">
        <v>36</v>
      </c>
      <c r="B4" s="12"/>
      <c r="C4" s="13" t="s">
        <v>37</v>
      </c>
      <c r="D4" s="12"/>
      <c r="E4" s="13" t="s">
        <v>38</v>
      </c>
      <c r="F4" s="12"/>
      <c r="G4" s="13" t="s">
        <v>39</v>
      </c>
      <c r="H4" s="12"/>
    </row>
    <row r="5" spans="1:8" ht="24" customHeight="1" x14ac:dyDescent="0.25">
      <c r="A5" s="16">
        <f>Analysis!B11</f>
        <v>25927</v>
      </c>
      <c r="B5" s="12"/>
      <c r="C5" s="15">
        <f>Analysis!D11</f>
        <v>0.90631663578844335</v>
      </c>
      <c r="D5" s="12"/>
      <c r="E5" s="17">
        <f>Analysis!E11</f>
        <v>63.466666666666661</v>
      </c>
      <c r="F5" s="12"/>
      <c r="G5" s="16">
        <f>Analysis!F11</f>
        <v>489</v>
      </c>
      <c r="H5" s="12"/>
    </row>
    <row r="6" spans="1:8" ht="24" customHeight="1" x14ac:dyDescent="0.25">
      <c r="A6" s="12"/>
      <c r="B6" s="12"/>
      <c r="C6" s="12"/>
      <c r="D6" s="12"/>
      <c r="E6" s="12"/>
      <c r="F6" s="12"/>
      <c r="G6" s="12"/>
      <c r="H6" s="12"/>
    </row>
    <row r="25" spans="1:8" ht="15.75" x14ac:dyDescent="0.25">
      <c r="A25" s="4" t="s">
        <v>40</v>
      </c>
    </row>
    <row r="26" spans="1:8" x14ac:dyDescent="0.25">
      <c r="A26" s="14" t="s">
        <v>41</v>
      </c>
      <c r="B26" s="12"/>
      <c r="C26" s="12"/>
      <c r="D26" s="12"/>
      <c r="E26" s="12"/>
      <c r="F26" s="12"/>
      <c r="G26" s="12"/>
      <c r="H26" s="12"/>
    </row>
    <row r="27" spans="1:8" x14ac:dyDescent="0.25">
      <c r="A27" s="14" t="s">
        <v>42</v>
      </c>
      <c r="B27" s="12"/>
      <c r="C27" s="12"/>
      <c r="D27" s="12"/>
      <c r="E27" s="12"/>
      <c r="F27" s="12"/>
      <c r="G27" s="12"/>
      <c r="H27" s="12"/>
    </row>
    <row r="28" spans="1:8" x14ac:dyDescent="0.25">
      <c r="A28" s="14" t="s">
        <v>43</v>
      </c>
      <c r="B28" s="12"/>
      <c r="C28" s="12"/>
      <c r="D28" s="12"/>
      <c r="E28" s="12"/>
      <c r="F28" s="12"/>
      <c r="G28" s="12"/>
      <c r="H28" s="12"/>
    </row>
  </sheetData>
  <mergeCells count="13">
    <mergeCell ref="A1:H1"/>
    <mergeCell ref="A27:H27"/>
    <mergeCell ref="C4:D4"/>
    <mergeCell ref="A28:H28"/>
    <mergeCell ref="C5:D6"/>
    <mergeCell ref="A5:B6"/>
    <mergeCell ref="G5:H6"/>
    <mergeCell ref="E5:F6"/>
    <mergeCell ref="A4:B4"/>
    <mergeCell ref="G4:H4"/>
    <mergeCell ref="E4:F4"/>
    <mergeCell ref="A26:H26"/>
    <mergeCell ref="A2:H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2026-07-16T13:50:53Z</dcterms:created>
  <dcterms:modified xsi:type="dcterms:W3CDTF">2026-07-16T13:58:17Z</dcterms:modified>
</cp:coreProperties>
</file>